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ADEF7B9-DFA8-4E79-A965-BB82D1E0B0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</sheets>
  <definedNames>
    <definedName name="mm">'Test Cases'!$I$8</definedName>
    <definedName name="verify_package_Design">'Test Cases'!$I$8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I5" i="1" s="1"/>
</calcChain>
</file>

<file path=xl/sharedStrings.xml><?xml version="1.0" encoding="utf-8"?>
<sst xmlns="http://schemas.openxmlformats.org/spreadsheetml/2006/main" count="147" uniqueCount="108">
  <si>
    <t>Product Name</t>
  </si>
  <si>
    <t>Mobile Action.com</t>
  </si>
  <si>
    <t>TC Start Date</t>
  </si>
  <si>
    <t>TC Execution Start Date</t>
  </si>
  <si>
    <t>TEST CASE SUMMARY</t>
  </si>
  <si>
    <t>Module Name</t>
  </si>
  <si>
    <t xml:space="preserve">User Login </t>
  </si>
  <si>
    <t>TC End Date</t>
  </si>
  <si>
    <t>TC Execution End Date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</si>
  <si>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</si>
  <si>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</si>
  <si>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</si>
  <si>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</si>
  <si>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</si>
  <si>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</si>
  <si>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</si>
  <si>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</si>
  <si>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</si>
  <si>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</si>
  <si>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</si>
  <si>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</si>
  <si>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</si>
  <si>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</si>
  <si>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</si>
  <si>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 xml:space="preserve">Precondition </t>
  </si>
  <si>
    <t>Test Data</t>
  </si>
  <si>
    <t>Step Description</t>
  </si>
  <si>
    <t>Expected Result</t>
  </si>
  <si>
    <t>Actual result</t>
  </si>
  <si>
    <t>Status</t>
  </si>
  <si>
    <t>Schreenshort</t>
  </si>
  <si>
    <t>TC001</t>
  </si>
  <si>
    <t>Registration form sign up with linkedin</t>
  </si>
  <si>
    <t>Need to Internet  connection and Responsive Device(Desktop,Mobile Phone ,Tablet)</t>
  </si>
  <si>
    <t>My linkedin account's gmail and password, which is previously login in my PC.</t>
  </si>
  <si>
    <t xml:space="preserve"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with LinkedIn up for free button                                                                 Step:5 Tap on signup with linkdin button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</si>
  <si>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Verification code should have been sent</t>
  </si>
  <si>
    <t>After put my correct linkedin email, password and phone no, it doesn't send any kind of verification on my phone number or email</t>
  </si>
  <si>
    <t>TC002</t>
  </si>
  <si>
    <t>Registration form sign up with linkdin</t>
  </si>
  <si>
    <t xml:space="preserve">Need to Internet  connection and Responsive Device(Desktop,Mobile Phone </t>
  </si>
  <si>
    <t>My linkdin account's gmail and password, which is previously login in my PC.</t>
  </si>
  <si>
    <t xml:space="preserve"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Tap on signup with linkdin button     Step:6 then go to second step    </t>
  </si>
  <si>
    <t>First Name , Last Name and Company name will have no password option</t>
  </si>
  <si>
    <t xml:space="preserve">First name , last name and Company name has password option </t>
  </si>
  <si>
    <t>TC003</t>
  </si>
  <si>
    <t>Graphic Designer</t>
  </si>
  <si>
    <t xml:space="preserve"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Tap on signup with linkdin button     Step:6 then go to second step  </t>
  </si>
  <si>
    <t>There will be an option to type in the job title field</t>
  </si>
  <si>
    <t>Various types of jobs are already provided in the job title field But all types of jobs are not mentioned here</t>
  </si>
  <si>
    <t>TC004</t>
  </si>
  <si>
    <t>invalid phone no:1400000000</t>
  </si>
  <si>
    <t xml:space="preserve">Only valid numbers and valid </t>
  </si>
  <si>
    <t xml:space="preserve">Any type of 11 digit number is accepted here </t>
  </si>
  <si>
    <t>TC005</t>
  </si>
  <si>
    <t>blank</t>
  </si>
  <si>
    <t>An account will be created after all the processes are complete</t>
  </si>
  <si>
    <t>Account is created before each process is complete</t>
  </si>
  <si>
    <t>TC006</t>
  </si>
  <si>
    <t>thread count-1000
ramp up period-4s
loop count-1
Server name/IP-stage.onethread.app                                                                                                                                                                                                                                                                                  HTTP request-GET                                                                                                                                                                                                                                                                                                                                                Path-tasks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</si>
  <si>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Tap on signup with linkdin button     Step:6 click join now button</t>
  </si>
  <si>
    <t xml:space="preserve">
Click on the join now button will bring up the form for LinkedIn account creation
</t>
  </si>
  <si>
    <t>When someone has not had a LinkedIn account but he wants to create a new account by clicking on the join now button but the button is not working.</t>
  </si>
  <si>
    <t>TC007</t>
  </si>
  <si>
    <t>Registration form sign up with linkedin (fild fill with special character)</t>
  </si>
  <si>
    <t>Special Character:@#$%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</si>
  <si>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Tap on signup with linkdin button     Step:6 fill up all the filed with special character</t>
  </si>
  <si>
    <t>user should get an alert pop-up of special character</t>
  </si>
  <si>
    <t>Do not show  any kind of the alart pop-up.</t>
  </si>
  <si>
    <t>TC008</t>
  </si>
  <si>
    <t>Registration form sign up with Google Account</t>
  </si>
  <si>
    <t>My valid google account which is already sign in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</si>
  <si>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Tap on signup with Google Button</t>
  </si>
  <si>
    <t xml:space="preserve">Account created successfully </t>
  </si>
  <si>
    <t>It's perfect</t>
  </si>
  <si>
    <t>TC009</t>
  </si>
  <si>
    <t xml:space="preserve">Registration form sign up with Email account  </t>
  </si>
  <si>
    <t>wrong email: 0182@gmail.com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</si>
  <si>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the Sign up for free button                     Step:5 fill email option</t>
  </si>
  <si>
    <t>Will not accept invalid email addresses</t>
  </si>
  <si>
    <t>Incorrect email address accepted</t>
  </si>
  <si>
    <t>TC010</t>
  </si>
  <si>
    <t>Registration form sign up with password</t>
  </si>
  <si>
    <t>Valid password: Ab@3568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</si>
  <si>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fill email option and password</t>
  </si>
  <si>
    <t>Accept only Strong Password</t>
  </si>
  <si>
    <t>Only Strong password will be accepted</t>
  </si>
  <si>
    <t>TC011</t>
  </si>
  <si>
    <t>Incorrect email address: 4562%bjnhj</t>
  </si>
  <si>
    <t xml:space="preserve"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Sign up for free button                     Step:5 fill email option and password           Step:6 tap on Sign up it's free button                       </t>
  </si>
  <si>
    <t>verification code will be send only valid Email address</t>
  </si>
  <si>
    <t>In Incorrect email address sending verification</t>
  </si>
  <si>
    <t>TC012</t>
  </si>
  <si>
    <t>wrong country:   US</t>
  </si>
  <si>
    <t xml:space="preserve"> the account can be opened using any country</t>
  </si>
  <si>
    <t>TC013</t>
  </si>
  <si>
    <t>Wrong email address: 0182@562.com</t>
  </si>
  <si>
    <t>accept just valid email address</t>
  </si>
  <si>
    <t>TC014</t>
  </si>
  <si>
    <t>Wrong Password: 123456</t>
  </si>
  <si>
    <t>Step1-Goto  any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paste this link https://www.mobileaction.co/app/android/us/ekhanei-com/com.ekhanei.app                                                                                                                                                                                                                                                                           Step-3 goto to the site                                      Step:4  tap on the Sign up for free button                     Step:5 fill email option and password</t>
  </si>
  <si>
    <t>Only Strong password will be accept</t>
  </si>
  <si>
    <t>a weak password is not accepted here.</t>
  </si>
  <si>
    <t>Safar Khan Shuvo</t>
  </si>
  <si>
    <t>24/02/2023</t>
  </si>
  <si>
    <t>25/10/2023</t>
  </si>
  <si>
    <t>26/02/2023</t>
  </si>
  <si>
    <t>25/02/2023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</si>
</sst>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Calibri"/>
      <scheme val="minor"/>
    </font>
    <font>
      <b/>
      <sz val="10"/>
      <color rgb="FFFFFFFF"/>
      <name val="Calibri"/>
    </font>
    <font>
      <sz val="10"/>
      <name val="Calibri"/>
    </font>
    <font>
      <u/>
      <sz val="10"/>
      <color rgb="FF0000FF"/>
      <name val="Arial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u/>
      <sz val="10"/>
      <color theme="1"/>
      <name val="Arial"/>
    </font>
    <font>
      <u/>
      <sz val="10"/>
      <color rgb="FF0563C1"/>
      <name val="Calibri"/>
    </font>
    <font>
      <sz val="10"/>
      <color theme="1"/>
      <name val="Arial"/>
    </font>
    <font>
      <sz val="10"/>
      <color theme="10"/>
      <name val="Calibri"/>
    </font>
    <font>
      <u/>
      <sz val="10"/>
      <color theme="10"/>
      <name val="Calibri"/>
    </font>
    <font>
      <u/>
      <sz val="10"/>
      <color theme="1"/>
      <name val="Arial"/>
    </font>
    <font>
      <u/>
      <sz val="10"/>
      <color theme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2" fontId="8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quotePrefix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7" borderId="1" xfId="0" applyFont="1" applyFill="1" applyBorder="1" applyAlignment="1">
      <alignment vertical="center" wrapText="1"/>
    </xf>
    <xf numFmtId="0" fontId="2" fillId="0" borderId="6" xfId="0" applyFont="1" applyBorder="1"/>
    <xf numFmtId="1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mailto:0182@gmail.com" TargetMode="External"/><Relationship Id="rId1" Type="http://schemas.openxmlformats.org/officeDocument/2006/relationships/hyperlink" Target="https://www.mobileaction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K1000"/>
  <sheetViews>
    <sheetView showGridLines="0" tabSelected="1" topLeftCell="E1" workbookViewId="0">
      <pane ySplit="6" topLeftCell="A7" activePane="bottomLeft" state="frozen"/>
      <selection pane="bottomLeft" activeCell="G2" sqref="G2"/>
    </sheetView>
  </sheetViews>
  <sheetFormatPr defaultColWidth="14.42578125" defaultRowHeight="15" customHeight="1" x14ac:dyDescent="0.2"/>
  <cols>
    <col min="1" max="1" width="21.85546875" customWidth="1"/>
    <col min="2" max="2" width="18.140625" customWidth="1"/>
    <col min="3" max="3" width="19" customWidth="1"/>
    <col min="4" max="4" width="34.85546875" customWidth="1"/>
    <col min="5" max="5" width="37.85546875" customWidth="1"/>
    <col min="6" max="6" width="28.28515625" customWidth="1"/>
    <col min="7" max="7" width="30" customWidth="1"/>
    <col min="8" max="8" width="13.7109375" customWidth="1"/>
    <col min="9" max="9" width="25" customWidth="1"/>
    <col min="10" max="10" width="17.28515625" customWidth="1"/>
    <col min="11" max="11" width="14.28515625" customWidth="1"/>
    <col min="12" max="26" width="12.7109375" customWidth="1"/>
  </cols>
  <sheetData>
    <row r="1" spans="1:11" ht="18" customHeight="1" x14ac:dyDescent="0.2">
      <c r="A1" s="50" t="s">
        <v>0</v>
      </c>
      <c r="B1" s="47"/>
      <c r="C1" s="1" t="s">
        <v>1</v>
      </c>
      <c r="D1" s="2" t="s">
        <v>2</v>
      </c>
      <c r="E1" s="3" t="s">
        <v>104</v>
      </c>
      <c r="F1" s="4" t="s">
        <v>3</v>
      </c>
      <c r="G1" s="3" t="s">
        <v>106</v>
      </c>
      <c r="H1" s="51" t="s">
        <v>4</v>
      </c>
      <c r="I1" s="47"/>
      <c r="J1" s="5"/>
      <c r="K1" s="5"/>
    </row>
    <row r="2" spans="1:11" ht="12.75" x14ac:dyDescent="0.2">
      <c r="A2" s="52" t="s">
        <v>5</v>
      </c>
      <c r="B2" s="47"/>
      <c r="C2" s="6" t="s">
        <v>6</v>
      </c>
      <c r="D2" s="2" t="s">
        <v>7</v>
      </c>
      <c r="E2" s="3" t="s">
        <v>105</v>
      </c>
      <c r="F2" s="7" t="s">
        <v>8</v>
      </c>
      <c r="G2" s="3" t="s">
        <v>107</v>
      </c>
      <c r="H2" s="8" t="s">
        <v>9</v>
      </c>
      <c r="I2" s="9">
        <f>COUNTIF(H7:H18, "PASS")</f>
        <v>3</v>
      </c>
      <c r="J2" s="5"/>
      <c r="K2" s="5"/>
    </row>
    <row r="3" spans="1:11" ht="18" customHeight="1" x14ac:dyDescent="0.2">
      <c r="A3" s="52" t="s">
        <v>10</v>
      </c>
      <c r="B3" s="47"/>
      <c r="C3" s="6"/>
      <c r="D3" s="10" t="s">
        <v>11</v>
      </c>
      <c r="E3" s="11" t="s">
        <v>103</v>
      </c>
      <c r="F3" s="12" t="s">
        <v>12</v>
      </c>
      <c r="G3" s="6" t="s">
        <v>13</v>
      </c>
      <c r="H3" s="13" t="s">
        <v>14</v>
      </c>
      <c r="I3" s="14">
        <f>COUNTIF(H7:H16, "Fail")</f>
        <v>8</v>
      </c>
      <c r="J3" s="5"/>
      <c r="K3" s="5"/>
    </row>
    <row r="4" spans="1:11" ht="18" customHeight="1" x14ac:dyDescent="0.2">
      <c r="A4" s="52" t="s">
        <v>15</v>
      </c>
      <c r="B4" s="47"/>
      <c r="C4" s="6"/>
      <c r="D4" s="10" t="s">
        <v>16</v>
      </c>
      <c r="E4" s="6"/>
      <c r="F4" s="12" t="s">
        <v>17</v>
      </c>
      <c r="G4" s="15" t="s">
        <v>18</v>
      </c>
      <c r="H4" s="8" t="s">
        <v>19</v>
      </c>
      <c r="I4" s="16">
        <f>COUNTIF(H7:H16, "WARNING")</f>
        <v>0</v>
      </c>
      <c r="J4" s="5"/>
      <c r="K4" s="5"/>
    </row>
    <row r="5" spans="1:11" ht="18" customHeight="1" x14ac:dyDescent="0.2">
      <c r="A5" s="46" t="s">
        <v>20</v>
      </c>
      <c r="B5" s="47"/>
      <c r="C5" s="48"/>
      <c r="D5" s="49"/>
      <c r="E5" s="49"/>
      <c r="F5" s="49"/>
      <c r="G5" s="47"/>
      <c r="H5" s="17" t="s">
        <v>21</v>
      </c>
      <c r="I5" s="18">
        <f>SUM(I2:I3:I4)</f>
        <v>11</v>
      </c>
      <c r="J5" s="5"/>
      <c r="K5" s="5"/>
    </row>
    <row r="6" spans="1:11" ht="18" customHeight="1" x14ac:dyDescent="0.2">
      <c r="A6" s="19" t="s">
        <v>22</v>
      </c>
      <c r="B6" s="20" t="s">
        <v>23</v>
      </c>
      <c r="C6" s="20" t="s">
        <v>24</v>
      </c>
      <c r="D6" s="20" t="s">
        <v>25</v>
      </c>
      <c r="E6" s="20" t="s">
        <v>26</v>
      </c>
      <c r="F6" s="20" t="s">
        <v>27</v>
      </c>
      <c r="G6" s="20" t="s">
        <v>28</v>
      </c>
      <c r="H6" s="20" t="s">
        <v>29</v>
      </c>
      <c r="I6" s="20" t="s">
        <v>30</v>
      </c>
      <c r="J6" s="21"/>
      <c r="K6" s="5"/>
    </row>
    <row r="7" spans="1:11" ht="102.75" customHeight="1" x14ac:dyDescent="0.2">
      <c r="A7" s="22" t="s">
        <v>31</v>
      </c>
      <c r="B7" s="23" t="s">
        <v>32</v>
      </c>
      <c r="C7" s="23" t="s">
        <v>33</v>
      </c>
      <c r="D7" s="23" t="s">
        <v>34</v>
      </c>
      <c r="E7" s="24" t="s">
        <v>35</v>
      </c>
      <c r="F7" s="25" t="s">
        <v>36</v>
      </c>
      <c r="G7" s="24" t="s">
        <v>37</v>
      </c>
      <c r="H7" s="26" t="s">
        <v>14</v>
      </c>
      <c r="I7" s="27"/>
      <c r="J7" s="27"/>
      <c r="K7" s="5"/>
    </row>
    <row r="8" spans="1:11" ht="102" x14ac:dyDescent="0.2">
      <c r="A8" s="28" t="s">
        <v>38</v>
      </c>
      <c r="B8" s="29" t="s">
        <v>39</v>
      </c>
      <c r="C8" s="29" t="s">
        <v>40</v>
      </c>
      <c r="D8" s="30" t="s">
        <v>41</v>
      </c>
      <c r="E8" s="31" t="s">
        <v>42</v>
      </c>
      <c r="F8" s="29" t="s">
        <v>43</v>
      </c>
      <c r="G8" s="32" t="s">
        <v>44</v>
      </c>
      <c r="H8" s="9" t="s">
        <v>14</v>
      </c>
      <c r="I8" s="33"/>
      <c r="J8" s="34"/>
      <c r="K8" s="5"/>
    </row>
    <row r="9" spans="1:11" ht="102" x14ac:dyDescent="0.2">
      <c r="A9" s="28" t="s">
        <v>45</v>
      </c>
      <c r="B9" s="29" t="s">
        <v>32</v>
      </c>
      <c r="C9" s="29" t="s">
        <v>40</v>
      </c>
      <c r="D9" s="23" t="s">
        <v>46</v>
      </c>
      <c r="E9" s="35" t="s">
        <v>47</v>
      </c>
      <c r="F9" s="29" t="s">
        <v>48</v>
      </c>
      <c r="G9" s="29" t="s">
        <v>49</v>
      </c>
      <c r="H9" s="9" t="s">
        <v>14</v>
      </c>
      <c r="I9" s="36"/>
      <c r="J9" s="34"/>
      <c r="K9" s="5"/>
    </row>
    <row r="10" spans="1:11" ht="102" x14ac:dyDescent="0.2">
      <c r="A10" s="37" t="s">
        <v>50</v>
      </c>
      <c r="B10" s="29" t="s">
        <v>32</v>
      </c>
      <c r="C10" s="29" t="s">
        <v>40</v>
      </c>
      <c r="D10" s="38" t="s">
        <v>51</v>
      </c>
      <c r="E10" s="35" t="s">
        <v>47</v>
      </c>
      <c r="F10" s="29" t="s">
        <v>52</v>
      </c>
      <c r="G10" s="29" t="s">
        <v>53</v>
      </c>
      <c r="H10" s="9" t="s">
        <v>14</v>
      </c>
      <c r="I10" s="27"/>
      <c r="J10" s="34"/>
      <c r="K10" s="5"/>
    </row>
    <row r="11" spans="1:11" ht="102" x14ac:dyDescent="0.2">
      <c r="A11" s="37" t="s">
        <v>54</v>
      </c>
      <c r="B11" s="35" t="s">
        <v>32</v>
      </c>
      <c r="C11" s="35" t="s">
        <v>40</v>
      </c>
      <c r="D11" s="38" t="s">
        <v>55</v>
      </c>
      <c r="E11" s="35" t="s">
        <v>47</v>
      </c>
      <c r="F11" s="35" t="s">
        <v>56</v>
      </c>
      <c r="G11" s="35" t="s">
        <v>57</v>
      </c>
      <c r="H11" s="9" t="s">
        <v>14</v>
      </c>
      <c r="I11" s="27"/>
      <c r="J11" s="34"/>
      <c r="K11" s="5"/>
    </row>
    <row r="12" spans="1:11" ht="102" x14ac:dyDescent="0.2">
      <c r="A12" s="37" t="s">
        <v>58</v>
      </c>
      <c r="B12" s="39" t="s">
        <v>32</v>
      </c>
      <c r="C12" s="39" t="s">
        <v>40</v>
      </c>
      <c r="D12" s="40" t="s">
        <v>59</v>
      </c>
      <c r="E12" s="39" t="s">
        <v>60</v>
      </c>
      <c r="F12" s="39" t="s">
        <v>61</v>
      </c>
      <c r="G12" s="41" t="s">
        <v>62</v>
      </c>
      <c r="H12" s="9" t="s">
        <v>14</v>
      </c>
      <c r="I12" s="36"/>
      <c r="J12" s="34"/>
      <c r="K12" s="5"/>
    </row>
    <row r="13" spans="1:11" ht="114.75" x14ac:dyDescent="0.2">
      <c r="A13" s="37" t="s">
        <v>63</v>
      </c>
      <c r="B13" s="39" t="s">
        <v>64</v>
      </c>
      <c r="C13" s="39" t="s">
        <v>40</v>
      </c>
      <c r="D13" s="39" t="s">
        <v>65</v>
      </c>
      <c r="E13" s="39" t="s">
        <v>66</v>
      </c>
      <c r="F13" s="39" t="s">
        <v>67</v>
      </c>
      <c r="G13" s="41" t="s">
        <v>68</v>
      </c>
      <c r="H13" s="26" t="s">
        <v>14</v>
      </c>
      <c r="I13" s="27"/>
      <c r="J13" s="34"/>
      <c r="K13" s="5"/>
    </row>
    <row r="14" spans="1:11" ht="89.25" x14ac:dyDescent="0.2">
      <c r="A14" s="28" t="s">
        <v>69</v>
      </c>
      <c r="B14" s="39" t="s">
        <v>70</v>
      </c>
      <c r="C14" s="39" t="s">
        <v>40</v>
      </c>
      <c r="D14" s="40" t="s">
        <v>71</v>
      </c>
      <c r="E14" s="41" t="s">
        <v>72</v>
      </c>
      <c r="F14" s="39" t="s">
        <v>73</v>
      </c>
      <c r="G14" s="41" t="s">
        <v>74</v>
      </c>
      <c r="H14" s="9" t="s">
        <v>9</v>
      </c>
      <c r="I14" s="27"/>
      <c r="J14" s="34"/>
      <c r="K14" s="5"/>
    </row>
    <row r="15" spans="1:11" ht="89.25" x14ac:dyDescent="0.2">
      <c r="A15" s="42" t="s">
        <v>75</v>
      </c>
      <c r="B15" s="41" t="s">
        <v>76</v>
      </c>
      <c r="C15" s="41" t="s">
        <v>40</v>
      </c>
      <c r="D15" s="43" t="s">
        <v>77</v>
      </c>
      <c r="E15" s="39" t="s">
        <v>78</v>
      </c>
      <c r="F15" s="41" t="s">
        <v>79</v>
      </c>
      <c r="G15" s="41" t="s">
        <v>80</v>
      </c>
      <c r="H15" s="26" t="s">
        <v>14</v>
      </c>
      <c r="I15" s="44"/>
      <c r="J15" s="34"/>
      <c r="K15" s="5"/>
    </row>
    <row r="16" spans="1:11" ht="89.25" x14ac:dyDescent="0.2">
      <c r="A16" s="28" t="s">
        <v>81</v>
      </c>
      <c r="B16" s="41" t="s">
        <v>82</v>
      </c>
      <c r="C16" s="39" t="s">
        <v>40</v>
      </c>
      <c r="D16" s="45" t="s">
        <v>83</v>
      </c>
      <c r="E16" s="39" t="s">
        <v>84</v>
      </c>
      <c r="F16" s="41" t="s">
        <v>85</v>
      </c>
      <c r="G16" s="41" t="s">
        <v>86</v>
      </c>
      <c r="H16" s="9" t="s">
        <v>9</v>
      </c>
      <c r="I16" s="44"/>
      <c r="J16" s="34"/>
      <c r="K16" s="5"/>
    </row>
    <row r="17" spans="1:11" ht="112.5" customHeight="1" x14ac:dyDescent="0.2">
      <c r="A17" s="28" t="s">
        <v>87</v>
      </c>
      <c r="B17" s="41" t="s">
        <v>82</v>
      </c>
      <c r="C17" s="39" t="s">
        <v>40</v>
      </c>
      <c r="D17" s="39" t="s">
        <v>88</v>
      </c>
      <c r="E17" s="39" t="s">
        <v>89</v>
      </c>
      <c r="F17" s="41" t="s">
        <v>90</v>
      </c>
      <c r="G17" s="41" t="s">
        <v>91</v>
      </c>
      <c r="H17" s="9" t="s">
        <v>14</v>
      </c>
      <c r="I17" s="44"/>
      <c r="J17" s="34"/>
      <c r="K17" s="5"/>
    </row>
    <row r="18" spans="1:11" ht="108" customHeight="1" x14ac:dyDescent="0.2">
      <c r="A18" s="28" t="s">
        <v>92</v>
      </c>
      <c r="B18" s="41" t="s">
        <v>82</v>
      </c>
      <c r="C18" s="39" t="s">
        <v>40</v>
      </c>
      <c r="D18" s="39" t="s">
        <v>93</v>
      </c>
      <c r="E18" s="39" t="s">
        <v>84</v>
      </c>
      <c r="G18" s="41" t="s">
        <v>94</v>
      </c>
      <c r="H18" s="9" t="s">
        <v>9</v>
      </c>
      <c r="I18" s="44"/>
      <c r="J18" s="44"/>
      <c r="K18" s="5"/>
    </row>
    <row r="19" spans="1:11" ht="100.5" customHeight="1" x14ac:dyDescent="0.2">
      <c r="A19" s="28" t="s">
        <v>95</v>
      </c>
      <c r="B19" s="41" t="s">
        <v>82</v>
      </c>
      <c r="C19" s="39" t="s">
        <v>40</v>
      </c>
      <c r="D19" s="39" t="s">
        <v>96</v>
      </c>
      <c r="E19" s="39" t="s">
        <v>78</v>
      </c>
      <c r="F19" s="41" t="s">
        <v>79</v>
      </c>
      <c r="G19" s="41" t="s">
        <v>97</v>
      </c>
      <c r="H19" s="9" t="s">
        <v>14</v>
      </c>
      <c r="I19" s="44"/>
      <c r="J19" s="44"/>
      <c r="K19" s="5"/>
    </row>
    <row r="20" spans="1:11" ht="38.25" customHeight="1" x14ac:dyDescent="0.2">
      <c r="A20" s="28" t="s">
        <v>98</v>
      </c>
      <c r="B20" s="41" t="s">
        <v>82</v>
      </c>
      <c r="C20" s="39" t="s">
        <v>40</v>
      </c>
      <c r="D20" s="39" t="s">
        <v>99</v>
      </c>
      <c r="E20" s="39" t="s">
        <v>100</v>
      </c>
      <c r="F20" s="39" t="s">
        <v>101</v>
      </c>
      <c r="G20" s="39" t="s">
        <v>102</v>
      </c>
      <c r="H20" s="9" t="s">
        <v>9</v>
      </c>
      <c r="I20" s="44"/>
      <c r="J20" s="44"/>
      <c r="K20" s="5"/>
    </row>
    <row r="21" spans="1:11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30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30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31.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37.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38.2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30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ht="15.75" customHeight="1" x14ac:dyDescent="0.2"/>
    <row r="222" spans="1:11" ht="15.75" customHeight="1" x14ac:dyDescent="0.2"/>
    <row r="223" spans="1:11" ht="15.75" customHeight="1" x14ac:dyDescent="0.2"/>
    <row r="224" spans="1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H7:H20">
    <cfRule type="cellIs" dxfId="7" priority="1" operator="equal">
      <formula>"FAIL"</formula>
    </cfRule>
    <cfRule type="cellIs" dxfId="6" priority="2" operator="equal">
      <formula>"PASS"</formula>
    </cfRule>
    <cfRule type="cellIs" dxfId="5" priority="3" operator="equal">
      <formula>"WARNING"</formula>
    </cfRule>
    <cfRule type="containsBlanks" dxfId="4" priority="4">
      <formula>LEN(TRIM(H7))=0</formula>
    </cfRule>
  </conditionalFormatting>
  <conditionalFormatting sqref="I2:I3">
    <cfRule type="cellIs" dxfId="3" priority="5" operator="equal">
      <formula>"FAIL"</formula>
    </cfRule>
    <cfRule type="cellIs" dxfId="2" priority="6" operator="equal">
      <formula>"PASS"</formula>
    </cfRule>
    <cfRule type="cellIs" dxfId="1" priority="7" operator="equal">
      <formula>"WARNING"</formula>
    </cfRule>
    <cfRule type="containsBlanks" dxfId="0" priority="8">
      <formula>LEN(TRIM(I2))=0</formula>
    </cfRule>
  </conditionalFormatting>
  <dataValidations count="1">
    <dataValidation type="list" allowBlank="1" showInputMessage="1" showErrorMessage="1" prompt="Click and enter a value from the list of items" sqref="H7:H20" xr:uid="{00000000-0002-0000-0000-000000000000}">
      <formula1>"PASS,FAIL,WARNING"</formula1>
    </dataValidation>
  </dataValidations>
  <hyperlinks>
    <hyperlink ref="C1" r:id="rId1" xr:uid="{00000000-0004-0000-0000-000000000000}"/>
    <hyperlink ref="D15" r:id="rId2" xr:uid="{00000000-0004-0000-0000-000001000000}"/>
    <hyperlink ref="D16" r:id="rId3" xr:uid="{00000000-0004-0000-00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Ahmed</dc:creator>
  <cp:lastModifiedBy>Humza Ahmed</cp:lastModifiedBy>
  <dcterms:created xsi:type="dcterms:W3CDTF">2025-06-12T09:32:32Z</dcterms:created>
  <dcterms:modified xsi:type="dcterms:W3CDTF">2025-06-12T09:32:32Z</dcterms:modified>
</cp:coreProperties>
</file>